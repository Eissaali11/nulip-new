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Basel Al Fateh\Downloads\"/>
    </mc:Choice>
  </mc:AlternateContent>
  <xr:revisionPtr revIDLastSave="0" documentId="8_{4CFE0A2B-9E80-4BDE-BCD2-207135671F13}" xr6:coauthVersionLast="47" xr6:coauthVersionMax="47" xr10:uidLastSave="{00000000-0000-0000-0000-000000000000}"/>
  <bookViews>
    <workbookView xWindow="-120" yWindow="-120" windowWidth="29040" windowHeight="15720" xr2:uid="{CAFA58E9-E519-4DEF-96B9-C38C9E815844}"/>
  </bookViews>
  <sheets>
    <sheet name="جرد المخزون المتحرك" sheetId="1" r:id="rId1"/>
  </sheets>
  <externalReferences>
    <externalReference r:id="rId2"/>
  </externalReferences>
  <definedNames>
    <definedName name="_xlnm._FilterDatabase" localSheetId="0" hidden="1">'جرد المخزون المتحرك'!$A$4:$M$41</definedName>
    <definedName name="_xlcn.WorksheetConnection_ProjectsBasilRasscoDetails.xlsxTeam1" hidden="1">[1]!Team[#Data]</definedName>
    <definedName name="_xlcn.WorksheetConnection_ProjectsBasilRasscoDetails.xlsxالجدول171" hidden="1">[1]!الجدول17[#Data]</definedName>
    <definedName name="_xlcn.WorksheetConnection_ProjectsBasilRasscoDetails.xlsxالجدول17201" hidden="1">[1]!الجدول1720[#Data]</definedName>
    <definedName name="_xlcn.WorksheetConnection_ProjectsBasilRasscoDetails.xlsxالجدول1726" hidden="1">[1]!الجدول1726[#Data]</definedName>
    <definedName name="_xlcn.WorksheetConnection_ProjectsBasilRasscoDetails.xlsxالجدول17261" hidden="1">[1]!الجدول1726[#Data]</definedName>
    <definedName name="_xlcn.WorksheetConnection_ProjectsBasilRasscoDetails.xlsxالجدول4271" hidden="1">[1]!الجدول427[#Data]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1" l="1"/>
  <c r="C39" i="1"/>
  <c r="L36" i="1"/>
  <c r="K36" i="1"/>
  <c r="C41" i="1" s="1"/>
  <c r="J36" i="1"/>
  <c r="G40" i="1" s="1"/>
  <c r="I36" i="1"/>
  <c r="G41" i="1" s="1"/>
  <c r="H36" i="1"/>
  <c r="E40" i="1" s="1"/>
  <c r="G36" i="1"/>
  <c r="G37" i="1" s="1"/>
  <c r="F36" i="1"/>
  <c r="F37" i="1" s="1"/>
  <c r="E36" i="1"/>
  <c r="E37" i="1" s="1"/>
  <c r="D36" i="1"/>
  <c r="E39" i="1" s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D37" i="1" l="1"/>
  <c r="G39" i="1"/>
  <c r="I39" i="1"/>
  <c r="C40" i="1"/>
</calcChain>
</file>

<file path=xl/sharedStrings.xml><?xml version="1.0" encoding="utf-8"?>
<sst xmlns="http://schemas.openxmlformats.org/spreadsheetml/2006/main" count="93" uniqueCount="72">
  <si>
    <t>Technician Inventory Management System</t>
  </si>
  <si>
    <t>Report Date: Monday, 3 November 2025 at 04:02 PM</t>
  </si>
  <si>
    <t>#</t>
  </si>
  <si>
    <t>Technicians Name</t>
  </si>
  <si>
    <t>City</t>
  </si>
  <si>
    <t>N950 Devices</t>
  </si>
  <si>
    <t>I9000s Devices</t>
  </si>
  <si>
    <t>I9100 Devices</t>
  </si>
  <si>
    <t>Roll Sheets</t>
  </si>
  <si>
    <t>Madai Stickers</t>
  </si>
  <si>
    <t>New Batteries</t>
  </si>
  <si>
    <t xml:space="preserve">SIM Mobily </t>
  </si>
  <si>
    <t xml:space="preserve">SIM STC </t>
  </si>
  <si>
    <t>SIM Zain</t>
  </si>
  <si>
    <t>Notes</t>
  </si>
  <si>
    <t>HAMAD MUNYIF_Neoleap</t>
  </si>
  <si>
    <t>ABHA</t>
  </si>
  <si>
    <t>Majid Rafiq_Neoleap</t>
  </si>
  <si>
    <t>BAHA</t>
  </si>
  <si>
    <t>GHAZIALI ABDULLAH_Neoleap</t>
  </si>
  <si>
    <t>BURAIDAH</t>
  </si>
  <si>
    <t>OMAR YOUSIF_Neoleap</t>
  </si>
  <si>
    <t>DAMMAM</t>
  </si>
  <si>
    <t>ANWAR  AL MANEEAI_Neoleap</t>
  </si>
  <si>
    <t>Hafr Albatin</t>
  </si>
  <si>
    <t>SHAHEER  HATTAMI_Neoleap</t>
  </si>
  <si>
    <t>HAIL</t>
  </si>
  <si>
    <t>Abdel Mohsen Mohamed Nour_Neoleap</t>
  </si>
  <si>
    <t>JEDDAH</t>
  </si>
  <si>
    <t>Suhaib Mohammed_Neoleap</t>
  </si>
  <si>
    <t>Saleh Saeed sheikh Yousef_Neoleap</t>
  </si>
  <si>
    <t>ANWAR ALI NASHRI_Neoleap</t>
  </si>
  <si>
    <t>JIZAN</t>
  </si>
  <si>
    <t>ALI AKI AKMSHDLY_Neoleap</t>
  </si>
  <si>
    <t>KHARJ</t>
  </si>
  <si>
    <t>Mohamed yasin_Neoleap</t>
  </si>
  <si>
    <t>KHOBAR</t>
  </si>
  <si>
    <t>ISMAIL MUSHTAQ_Neoleap</t>
  </si>
  <si>
    <t>MADINAH</t>
  </si>
  <si>
    <t>AbdulHamid AlHassan_Neoleap</t>
  </si>
  <si>
    <t>MAKKAH</t>
  </si>
  <si>
    <t>SABRI AMIR_Neoleap</t>
  </si>
  <si>
    <t>MUZAHMEYAH</t>
  </si>
  <si>
    <t>Naji Salem_Neoleap</t>
  </si>
  <si>
    <t>NAJRAN</t>
  </si>
  <si>
    <t>SHADI AL HATTAMI_Neoleap</t>
  </si>
  <si>
    <t>ONAIZAH</t>
  </si>
  <si>
    <t>HUSAM  ABDELGALIL_Neoleap</t>
  </si>
  <si>
    <t>QATIF</t>
  </si>
  <si>
    <t>HASAM ALKABODI_Neoleap</t>
  </si>
  <si>
    <t>Qurayyat</t>
  </si>
  <si>
    <t>Salem Abbod_Neoleap</t>
  </si>
  <si>
    <t>RIYADH</t>
  </si>
  <si>
    <t>Mohammed Alfar_Neoleap</t>
  </si>
  <si>
    <t>Kattab Albasher_Neoleap</t>
  </si>
  <si>
    <t>Ali Bin Al Swa_Neoleap</t>
  </si>
  <si>
    <t>ABDULRAQEB SALEH_Neoleap</t>
  </si>
  <si>
    <t>Hassan nogood_Neoleap</t>
  </si>
  <si>
    <t>Musab Alfadel_Neoleap</t>
  </si>
  <si>
    <t>SUAAD AWAD MOHAMED ALI _Neoleap</t>
  </si>
  <si>
    <t>HASIB  ALWAJIH_Neoleap</t>
  </si>
  <si>
    <t>SKAKA</t>
  </si>
  <si>
    <t>Ali Musaad_Neoleap</t>
  </si>
  <si>
    <t>TABOUK</t>
  </si>
  <si>
    <t>SALAH OMAR_Neoleap</t>
  </si>
  <si>
    <t>TAIF</t>
  </si>
  <si>
    <t>Muhammad Elias_Neoleap</t>
  </si>
  <si>
    <t>YANBU</t>
  </si>
  <si>
    <t>Total</t>
  </si>
  <si>
    <t>Total Box</t>
  </si>
  <si>
    <t>Overall Statistics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</si>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</sst>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178"/>
      <scheme val="minor"/>
    </font>
    <font>
      <sz val="11"/>
      <color theme="1"/>
      <name val="Aptos Narrow"/>
      <family val="2"/>
      <scheme val="minor"/>
    </font>
    <font>
      <b/>
      <sz val="16"/>
      <color rgb="FFFFFFFF"/>
      <name val="Calibri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  <family val="2"/>
    </font>
    <font>
      <b/>
      <sz val="14"/>
      <color rgb="FFFFFFFF"/>
      <name val="Calibri"/>
    </font>
    <font>
      <b/>
      <sz val="11"/>
      <name val="Calibri"/>
    </font>
    <font>
      <b/>
      <sz val="11"/>
      <color rgb="FF1E40AF"/>
      <name val="Calibri"/>
    </font>
    <font>
      <sz val="15"/>
      <color rgb="FF00000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3F4F6"/>
      </patternFill>
    </fill>
    <fill>
      <patternFill patternType="solid">
        <fgColor rgb="FF475569"/>
      </patternFill>
    </fill>
    <fill>
      <patternFill patternType="solid">
        <fgColor rgb="FFF9FAFB"/>
      </patternFill>
    </fill>
    <fill>
      <patternFill patternType="solid">
        <fgColor rgb="FFF9FAFB"/>
        <bgColor indexed="64"/>
      </patternFill>
    </fill>
    <fill>
      <patternFill patternType="solid">
        <fgColor rgb="FF059669"/>
      </patternFill>
    </fill>
    <fill>
      <patternFill patternType="solid">
        <fgColor rgb="FFE0F2FE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double">
        <color indexed="64"/>
      </bottom>
      <diagonal/>
    </border>
    <border>
      <left style="thin">
        <color rgb="FFE5E7EB"/>
      </left>
      <right style="thin">
        <color rgb="FFE5E7EB"/>
      </right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2" borderId="0" xfId="1" applyFont="1" applyFill="1" applyAlignment="1">
      <alignment horizontal="center" vertical="center"/>
    </xf>
    <xf numFmtId="0" fontId="1" fillId="0" borderId="0" xfId="1" applyAlignment="1">
      <alignment horizontal="center"/>
    </xf>
    <xf numFmtId="0" fontId="3" fillId="3" borderId="0" xfId="1" applyFont="1" applyFill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2" xfId="1" applyFill="1" applyBorder="1" applyAlignment="1">
      <alignment horizontal="center" vertical="center"/>
    </xf>
    <xf numFmtId="0" fontId="1" fillId="5" borderId="3" xfId="1" applyFill="1" applyBorder="1" applyAlignment="1">
      <alignment horizontal="center" vertical="center"/>
    </xf>
    <xf numFmtId="0" fontId="1" fillId="5" borderId="4" xfId="1" applyFill="1" applyBorder="1" applyAlignment="1">
      <alignment horizontal="center" vertical="center"/>
    </xf>
    <xf numFmtId="0" fontId="5" fillId="7" borderId="0" xfId="1" applyFont="1" applyFill="1" applyAlignment="1">
      <alignment horizontal="center" vertical="center"/>
    </xf>
    <xf numFmtId="0" fontId="6" fillId="7" borderId="0" xfId="1" applyFont="1" applyFill="1" applyAlignment="1">
      <alignment horizontal="center" vertical="center"/>
    </xf>
    <xf numFmtId="0" fontId="7" fillId="8" borderId="6" xfId="1" applyFont="1" applyFill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9" fillId="0" borderId="0" xfId="0" applyFont="1"/>
    <xf numFmtId="0" fontId="1" fillId="6" borderId="5" xfId="0" applyNumberFormat="1" applyFont="1" applyFill="1" applyBorder="1" applyAlignment="1" applyProtection="1">
      <alignment horizontal="center" vertical="center"/>
    </xf>
  </cellXfs>
  <cellStyles count="2">
    <cellStyle name="عادي" xfId="0" builtinId="0"/>
    <cellStyle name="عادي 3" xfId="1" xr:uid="{3A52FABD-0840-4ED5-ABF7-B8BD482BD910}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rgb="FFF9FAFB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5E7EB"/>
        </left>
        <right style="thin">
          <color rgb="FFE5E7EB"/>
        </right>
        <top style="thin">
          <color rgb="FFE5E7EB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rgb="FFF9FAFB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5E7EB"/>
        </left>
        <right style="thin">
          <color rgb="FFE5E7EB"/>
        </right>
        <top style="thin">
          <color rgb="FFE5E7EB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rgb="FFF9FAFB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5E7EB"/>
        </left>
        <right style="thin">
          <color rgb="FFE5E7EB"/>
        </right>
        <top style="thin">
          <color rgb="FFE5E7EB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rgb="FFF9FAFB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5E7EB"/>
        </left>
        <right style="thin">
          <color rgb="FFE5E7EB"/>
        </right>
        <top style="thin">
          <color rgb="FFE5E7EB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rgb="FFF9FAFB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5E7EB"/>
        </left>
        <right style="thin">
          <color rgb="FFE5E7EB"/>
        </right>
        <top style="thin">
          <color rgb="FFE5E7EB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rgb="FFF9FAFB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5E7EB"/>
        </left>
        <right style="thin">
          <color rgb="FFE5E7EB"/>
        </right>
        <top style="thin">
          <color rgb="FFE5E7EB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rgb="FFF9FAFB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5E7EB"/>
        </left>
        <right style="thin">
          <color rgb="FFE5E7EB"/>
        </right>
        <top style="thin">
          <color rgb="FFE5E7EB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rgb="FFF9FAFB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5E7EB"/>
        </left>
        <right style="thin">
          <color rgb="FFE5E7EB"/>
        </right>
        <top style="thin">
          <color rgb="FFE5E7EB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rgb="FFF9FAFB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5E7EB"/>
        </left>
        <right style="thin">
          <color rgb="FFE5E7EB"/>
        </right>
        <top style="thin">
          <color rgb="FFE5E7EB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rgb="FFF9FAFB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5E7EB"/>
        </left>
        <right style="thin">
          <color rgb="FFE5E7EB"/>
        </right>
        <top style="thin">
          <color rgb="FFE5E7EB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rgb="FFF9FAFB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5E7EB"/>
        </left>
        <right style="thin">
          <color rgb="FFE5E7EB"/>
        </right>
        <top style="thin">
          <color rgb="FFE5E7EB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rgb="FFF9FAFB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5E7EB"/>
        </left>
        <right style="thin">
          <color rgb="FFE5E7EB"/>
        </right>
        <top style="thin">
          <color rgb="FFE5E7EB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rgb="FFF9FAFB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5E7EB"/>
        </left>
        <right style="thin">
          <color rgb="FFE5E7EB"/>
        </right>
        <top style="thin">
          <color rgb="FFE5E7EB"/>
        </top>
        <bottom/>
      </border>
      <protection locked="1" hidden="0"/>
    </dxf>
    <dxf>
      <fill>
        <patternFill patternType="solid">
          <fgColor indexed="64"/>
          <bgColor rgb="FFF9FA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5E7EB"/>
        </left>
        <right style="thin">
          <color rgb="FFE5E7EB"/>
        </right>
        <top style="thin">
          <color rgb="FFE5E7EB"/>
        </top>
        <bottom style="double">
          <color indexed="64"/>
        </bottom>
        <vertical/>
        <horizontal/>
      </border>
    </dxf>
    <dxf>
      <fill>
        <patternFill patternType="solid">
          <fgColor indexed="64"/>
          <bgColor rgb="FFF9FA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5E7EB"/>
        </left>
        <right style="thin">
          <color rgb="FFE5E7EB"/>
        </right>
        <top style="thin">
          <color rgb="FFE5E7EB"/>
        </top>
        <bottom style="double">
          <color indexed="64"/>
        </bottom>
        <vertical/>
        <horizontal/>
      </border>
    </dxf>
    <dxf>
      <fill>
        <patternFill patternType="solid">
          <fgColor indexed="64"/>
          <bgColor rgb="FFF9FA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5E7EB"/>
        </left>
        <right style="thin">
          <color rgb="FFE5E7EB"/>
        </right>
        <top style="thin">
          <color rgb="FFE5E7EB"/>
        </top>
        <bottom style="double">
          <color indexed="64"/>
        </bottom>
        <vertical/>
        <horizontal/>
      </border>
    </dxf>
    <dxf>
      <fill>
        <patternFill patternType="solid">
          <fgColor indexed="64"/>
          <bgColor rgb="FFF9FA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5E7EB"/>
        </left>
        <right style="thin">
          <color rgb="FFE5E7EB"/>
        </right>
        <top style="thin">
          <color rgb="FFE5E7EB"/>
        </top>
        <bottom style="double">
          <color indexed="64"/>
        </bottom>
        <vertical/>
        <horizontal/>
      </border>
    </dxf>
    <dxf>
      <fill>
        <patternFill patternType="solid">
          <fgColor indexed="64"/>
          <bgColor rgb="FFF9FA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5E7EB"/>
        </left>
        <right style="thin">
          <color rgb="FFE5E7EB"/>
        </right>
        <top style="thin">
          <color rgb="FFE5E7EB"/>
        </top>
        <bottom style="double">
          <color indexed="64"/>
        </bottom>
        <vertical/>
        <horizontal/>
      </border>
    </dxf>
    <dxf>
      <fill>
        <patternFill patternType="solid">
          <fgColor indexed="64"/>
          <bgColor rgb="FFF9FA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5E7EB"/>
        </left>
        <right style="thin">
          <color rgb="FFE5E7EB"/>
        </right>
        <top style="thin">
          <color rgb="FFE5E7EB"/>
        </top>
        <bottom style="double">
          <color indexed="64"/>
        </bottom>
        <vertical/>
        <horizontal/>
      </border>
    </dxf>
    <dxf>
      <fill>
        <patternFill patternType="solid">
          <fgColor indexed="64"/>
          <bgColor rgb="FFF9FA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5E7EB"/>
        </left>
        <right style="thin">
          <color rgb="FFE5E7EB"/>
        </right>
        <top style="thin">
          <color rgb="FFE5E7EB"/>
        </top>
        <bottom style="double">
          <color indexed="64"/>
        </bottom>
        <vertical/>
        <horizontal/>
      </border>
    </dxf>
    <dxf>
      <fill>
        <patternFill patternType="solid">
          <fgColor indexed="64"/>
          <bgColor rgb="FFF9FA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5E7EB"/>
        </left>
        <right style="thin">
          <color rgb="FFE5E7EB"/>
        </right>
        <top style="thin">
          <color rgb="FFE5E7EB"/>
        </top>
        <bottom style="double">
          <color indexed="64"/>
        </bottom>
        <vertical/>
        <horizontal/>
      </border>
    </dxf>
    <dxf>
      <fill>
        <patternFill patternType="solid">
          <fgColor indexed="64"/>
          <bgColor rgb="FFF9FA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5E7EB"/>
        </left>
        <right style="thin">
          <color rgb="FFE5E7EB"/>
        </right>
        <top style="thin">
          <color rgb="FFE5E7EB"/>
        </top>
        <bottom style="double">
          <color indexed="64"/>
        </bottom>
        <vertical/>
        <horizontal/>
      </border>
    </dxf>
    <dxf>
      <fill>
        <patternFill patternType="solid">
          <fgColor indexed="64"/>
          <bgColor rgb="FFF9FA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5E7EB"/>
        </left>
        <right style="thin">
          <color rgb="FFE5E7EB"/>
        </right>
        <top style="thin">
          <color rgb="FFE5E7EB"/>
        </top>
        <bottom style="double">
          <color indexed="64"/>
        </bottom>
        <vertical/>
        <horizontal/>
      </border>
    </dxf>
    <dxf>
      <fill>
        <patternFill patternType="solid">
          <fgColor indexed="64"/>
          <bgColor rgb="FFF9FA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5E7EB"/>
        </left>
        <right style="thin">
          <color rgb="FFE5E7EB"/>
        </right>
        <top style="thin">
          <color rgb="FFE5E7EB"/>
        </top>
        <bottom style="double">
          <color indexed="64"/>
        </bottom>
        <vertical/>
        <horizontal/>
      </border>
    </dxf>
    <dxf>
      <fill>
        <patternFill patternType="solid">
          <fgColor indexed="64"/>
          <bgColor rgb="FFF9FA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5E7EB"/>
        </left>
        <right style="thin">
          <color rgb="FFE5E7EB"/>
        </right>
        <top style="thin">
          <color rgb="FFE5E7EB"/>
        </top>
        <bottom style="double">
          <color indexed="64"/>
        </bottom>
        <vertical/>
        <horizontal/>
      </border>
    </dxf>
    <dxf>
      <fill>
        <patternFill patternType="solid">
          <fgColor indexed="64"/>
          <bgColor rgb="FFF9FA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5E7EB"/>
        </left>
        <right style="thin">
          <color rgb="FFE5E7EB"/>
        </right>
        <top style="thin">
          <color rgb="FFE5E7EB"/>
        </top>
        <bottom style="double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ill>
        <patternFill patternType="solid">
          <fgColor indexed="64"/>
          <bgColor rgb="FFF9FAFB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47556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u%20issa\Downloads\Projects%20Basil%20-%20Rassco%20Details.1.xlsx" TargetMode="External"/><Relationship Id="rId1" Type="http://schemas.openxmlformats.org/officeDocument/2006/relationships/externalLinkPath" Target="/Users/Abu%20issa/Downloads/Projects%20Basil%20-%20Rassco%20Details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  .         🏠          .   "/>
      <sheetName val="Team Details"/>
      <sheetName val="Team NAQEL"/>
      <sheetName val="User NAQEL"/>
      <sheetName val="Stop Working"/>
      <sheetName val="الارقام الملغية "/>
      <sheetName val="MEP - المركبات المتعطلة"/>
      <sheetName val="SHNP Team Details"/>
      <sheetName val="Mrsool "/>
      <sheetName val=" PetroApp "/>
      <sheetName val="Vehicles Data"/>
      <sheetName val="المركبات المحجوزة لناقل "/>
      <sheetName val=" ALL PEUGEOT"/>
      <sheetName val="حصر اضرار نيوليب"/>
      <sheetName val="اسلام العهد نيوليب "/>
      <sheetName val="ALL YARIS"/>
      <sheetName val="شرائح PetroApp "/>
      <sheetName val=" ALL RENAULT "/>
      <sheetName val="NAQEL Form"/>
      <sheetName val="PetroApp Form"/>
      <sheetName val="Car Form"/>
      <sheetName val="COD"/>
      <sheetName val="Home (2)"/>
      <sheetName val="فهد الحداد _قصي_محمد الحاج"/>
      <sheetName val="محمد احمد"/>
      <sheetName val="Projects Basil - Rassco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C615EE-4C73-4778-8398-98658AA06CB4}" name="الجدول3" displayName="الجدول3" ref="A4:M37" totalsRowCount="1" headerRowDxfId="29" dataDxfId="28" headerRowBorderDxfId="26" tableBorderDxfId="27" headerRowCellStyle="عادي 3" dataCellStyle="عادي 3">
  <autoFilter ref="A4:M36" xr:uid="{8047CEFE-F660-4019-B140-12C898EEBC7E}"/>
  <sortState xmlns:xlrd2="http://schemas.microsoft.com/office/spreadsheetml/2017/richdata2" ref="A5:M36">
    <sortCondition ref="C4:C36"/>
  </sortState>
  <tableColumns count="13">
    <tableColumn id="1" xr3:uid="{D8E08786-41BF-4576-BA4C-77B4DA11FAA4}" name="#" dataDxfId="25" totalsRowDxfId="12" dataCellStyle="عادي 3"/>
    <tableColumn id="2" xr3:uid="{F033ABDB-0B02-42D6-AB3C-E3452B7C7425}" name="Technicians Name" totalsRowLabel="Total Box" dataDxfId="24" totalsRowDxfId="11" dataCellStyle="عادي 3"/>
    <tableColumn id="3" xr3:uid="{733BD889-7879-49B8-9AE1-1A9460233500}" name="City" dataDxfId="23" totalsRowDxfId="10" dataCellStyle="عادي 3"/>
    <tableColumn id="4" xr3:uid="{CAB1AAC9-9983-4570-9717-28B99B3D16B6}" name="N950 Devices" totalsRowFunction="custom" dataDxfId="22" totalsRowDxfId="9" dataCellStyle="عادي 3">
      <totalsRowFormula>D36/10</totalsRowFormula>
    </tableColumn>
    <tableColumn id="5" xr3:uid="{DE558812-39FC-4CAC-9B96-F9BDA5E355B8}" name="I9000s Devices" totalsRowFunction="custom" dataDxfId="21" totalsRowDxfId="8" dataCellStyle="عادي 3">
      <totalsRowFormula>E36/20</totalsRowFormula>
    </tableColumn>
    <tableColumn id="6" xr3:uid="{0052D7CF-4BE2-4FEE-8D66-96C139849ED4}" name="I9100 Devices" totalsRowFunction="custom" dataDxfId="20" totalsRowDxfId="7" dataCellStyle="عادي 3">
      <totalsRowFormula>F36/10</totalsRowFormula>
    </tableColumn>
    <tableColumn id="7" xr3:uid="{1C7968F3-325A-4557-B714-0D07A846D68F}" name="Roll Sheets" totalsRowFunction="custom" dataDxfId="19" totalsRowDxfId="6" dataCellStyle="عادي 3">
      <totalsRowFormula>G36/50</totalsRowFormula>
    </tableColumn>
    <tableColumn id="8" xr3:uid="{8623A9A2-A8F8-45CB-AC54-4D6EFD28B177}" name="Madai Stickers" dataDxfId="18" totalsRowDxfId="5" dataCellStyle="عادي 3"/>
    <tableColumn id="9" xr3:uid="{DE17F577-2ADD-486B-8EC2-65D03045FBC1}" name="New Batteries" dataDxfId="17" totalsRowDxfId="4" dataCellStyle="عادي 3"/>
    <tableColumn id="10" xr3:uid="{D44F4B50-768E-470B-B9D5-C5AECE15B5D4}" name="SIM Mobily " dataDxfId="16" totalsRowDxfId="3" dataCellStyle="عادي 3"/>
    <tableColumn id="11" xr3:uid="{EDA03599-833B-48C6-B364-9C1972EB38B1}" name="SIM STC " dataDxfId="15" totalsRowDxfId="2" dataCellStyle="عادي 3"/>
    <tableColumn id="12" xr3:uid="{4AA28BBD-D000-42B3-83C9-190566960B29}" name="SIM Zain" dataDxfId="14" totalsRowDxfId="1" dataCellStyle="عادي 3"/>
    <tableColumn id="13" xr3:uid="{35CE98D1-0E7E-4E9A-B86F-BD2D8704D215}" name="Notes" dataDxfId="13" totalsRowDxfId="0" dataCellStyle="عادي 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328C0-148F-4BB0-945A-14728B5C828C}">
  <dimension ref="A1:M45"/>
  <sheetViews>
    <sheetView showGridLines="0" tabSelected="1" zoomScale="70" zoomScaleNormal="70" workbookViewId="0">
      <selection activeCell="I23" sqref="I23"/>
    </sheetView>
  </sheetViews>
  <sheetFormatPr defaultRowHeight="15" x14ac:dyDescent="0.25"/>
  <cols>
    <col min="1" max="1" width="3.75" style="2" customWidth="1"/>
    <col min="2" max="2" width="32" style="2" bestFit="1" customWidth="1"/>
    <col min="3" max="3" width="11.625" style="2" bestFit="1" customWidth="1"/>
    <col min="4" max="4" width="12.625" style="2" customWidth="1"/>
    <col min="5" max="5" width="13.625" style="2" customWidth="1"/>
    <col min="6" max="6" width="12.875" style="2" customWidth="1"/>
    <col min="7" max="7" width="12.5" style="2" customWidth="1"/>
    <col min="8" max="8" width="13.625" style="2" customWidth="1"/>
    <col min="9" max="9" width="13.25" style="2" customWidth="1"/>
    <col min="10" max="12" width="12.5" style="2" customWidth="1"/>
    <col min="13" max="13" width="45.75" style="2" bestFit="1" customWidth="1"/>
  </cols>
  <sheetData>
    <row r="1" spans="1:13" ht="35.1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3" ht="24.95" customHeight="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spans="1:13" ht="33" customHeight="1" x14ac:dyDescent="0.2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</row>
    <row r="5" spans="1:13" ht="21.95" customHeight="1" x14ac:dyDescent="0.2">
      <c r="A5" s="5">
        <f>SUBTOTAL(3,B$5:$B5:B5)</f>
        <v>1</v>
      </c>
      <c r="B5" s="5" t="s">
        <v>15</v>
      </c>
      <c r="C5" s="5" t="s">
        <v>16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/>
    </row>
    <row r="6" spans="1:13" ht="21.95" customHeight="1" x14ac:dyDescent="0.2">
      <c r="A6" s="5">
        <f>SUBTOTAL(3,B$5:$B6:B6)</f>
        <v>2</v>
      </c>
      <c r="B6" s="5" t="s">
        <v>17</v>
      </c>
      <c r="C6" s="5" t="s">
        <v>18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/>
    </row>
    <row r="7" spans="1:13" ht="21.95" customHeight="1" x14ac:dyDescent="0.2">
      <c r="A7" s="5">
        <f>SUBTOTAL(3,B$5:$B7:B7)</f>
        <v>3</v>
      </c>
      <c r="B7" s="5" t="s">
        <v>19</v>
      </c>
      <c r="C7" s="5" t="s">
        <v>20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/>
    </row>
    <row r="8" spans="1:13" ht="21.95" customHeight="1" x14ac:dyDescent="0.2">
      <c r="A8" s="5">
        <f>SUBTOTAL(3,B$5:$B8:B8)</f>
        <v>4</v>
      </c>
      <c r="B8" s="5" t="s">
        <v>21</v>
      </c>
      <c r="C8" s="5" t="s">
        <v>22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/>
    </row>
    <row r="9" spans="1:13" ht="21.95" customHeight="1" x14ac:dyDescent="0.2">
      <c r="A9" s="5">
        <f>SUBTOTAL(3,B$5:$B9:B9)</f>
        <v>5</v>
      </c>
      <c r="B9" s="5" t="s">
        <v>23</v>
      </c>
      <c r="C9" s="5" t="s">
        <v>24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/>
    </row>
    <row r="10" spans="1:13" ht="21.95" customHeight="1" x14ac:dyDescent="0.2">
      <c r="A10" s="5">
        <f>SUBTOTAL(3,B$5:$B10:B10)</f>
        <v>6</v>
      </c>
      <c r="B10" s="5" t="s">
        <v>25</v>
      </c>
      <c r="C10" s="5" t="s">
        <v>26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/>
    </row>
    <row r="11" spans="1:13" ht="21.95" customHeight="1" x14ac:dyDescent="0.2">
      <c r="A11" s="5">
        <f>SUBTOTAL(3,B$5:$B11:B11)</f>
        <v>7</v>
      </c>
      <c r="B11" s="5" t="s">
        <v>27</v>
      </c>
      <c r="C11" s="5" t="s">
        <v>28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/>
    </row>
    <row r="12" spans="1:13" ht="21.95" customHeight="1" x14ac:dyDescent="0.2">
      <c r="A12" s="5">
        <f>SUBTOTAL(3,B$5:$B12:B12)</f>
        <v>8</v>
      </c>
      <c r="B12" s="5" t="s">
        <v>29</v>
      </c>
      <c r="C12" s="5" t="s">
        <v>28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/>
    </row>
    <row r="13" spans="1:13" ht="21.95" customHeight="1" x14ac:dyDescent="0.2">
      <c r="A13" s="5">
        <f>SUBTOTAL(3,B$5:$B13:B13)</f>
        <v>9</v>
      </c>
      <c r="B13" s="5" t="s">
        <v>30</v>
      </c>
      <c r="C13" s="5" t="s">
        <v>28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/>
    </row>
    <row r="14" spans="1:13" ht="21.95" customHeight="1" x14ac:dyDescent="0.2">
      <c r="A14" s="5">
        <f>SUBTOTAL(3,B$5:$B14:B14)</f>
        <v>10</v>
      </c>
      <c r="B14" s="5" t="s">
        <v>31</v>
      </c>
      <c r="C14" s="5" t="s">
        <v>32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/>
    </row>
    <row r="15" spans="1:13" ht="21.95" customHeight="1" x14ac:dyDescent="0.2">
      <c r="A15" s="5">
        <f>SUBTOTAL(3,B$5:$B15:B15)</f>
        <v>11</v>
      </c>
      <c r="B15" s="5" t="s">
        <v>33</v>
      </c>
      <c r="C15" s="5" t="s">
        <v>34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/>
    </row>
    <row r="16" spans="1:13" ht="21.95" customHeight="1" x14ac:dyDescent="0.2">
      <c r="A16" s="5">
        <f>SUBTOTAL(3,B$5:$B16:B16)</f>
        <v>12</v>
      </c>
      <c r="B16" s="5" t="s">
        <v>35</v>
      </c>
      <c r="C16" s="5" t="s">
        <v>36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/>
    </row>
    <row r="17" spans="1:13" ht="21.95" customHeight="1" x14ac:dyDescent="0.2">
      <c r="A17" s="5">
        <f>SUBTOTAL(3,B$5:$B17:B17)</f>
        <v>13</v>
      </c>
      <c r="B17" s="5" t="s">
        <v>37</v>
      </c>
      <c r="C17" s="5" t="s">
        <v>38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/>
    </row>
    <row r="18" spans="1:13" ht="21.95" customHeight="1" x14ac:dyDescent="0.2">
      <c r="A18" s="5">
        <f>SUBTOTAL(3,B$5:$B18:B18)</f>
        <v>14</v>
      </c>
      <c r="B18" s="5" t="s">
        <v>39</v>
      </c>
      <c r="C18" s="5" t="s">
        <v>40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/>
    </row>
    <row r="19" spans="1:13" ht="21.95" customHeight="1" x14ac:dyDescent="0.2">
      <c r="A19" s="5">
        <f>SUBTOTAL(3,B$5:$B19:B19)</f>
        <v>15</v>
      </c>
      <c r="B19" s="5" t="s">
        <v>41</v>
      </c>
      <c r="C19" s="5" t="s">
        <v>42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/>
    </row>
    <row r="20" spans="1:13" ht="21.95" customHeight="1" x14ac:dyDescent="0.2">
      <c r="A20" s="5">
        <f>SUBTOTAL(3,B$5:$B20:B20)</f>
        <v>16</v>
      </c>
      <c r="B20" s="5" t="s">
        <v>43</v>
      </c>
      <c r="C20" s="5" t="s">
        <v>44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/>
    </row>
    <row r="21" spans="1:13" ht="21.95" customHeight="1" x14ac:dyDescent="0.2">
      <c r="A21" s="5">
        <f>SUBTOTAL(3,B$5:$B21:B21)</f>
        <v>17</v>
      </c>
      <c r="B21" s="5" t="s">
        <v>45</v>
      </c>
      <c r="C21" s="5" t="s">
        <v>46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/>
    </row>
    <row r="22" spans="1:13" ht="21.95" customHeight="1" x14ac:dyDescent="0.2">
      <c r="A22" s="5">
        <f>SUBTOTAL(3,B$5:$B22:B22)</f>
        <v>18</v>
      </c>
      <c r="B22" s="5" t="s">
        <v>47</v>
      </c>
      <c r="C22" s="5" t="s">
        <v>48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/>
    </row>
    <row r="23" spans="1:13" ht="21.95" customHeight="1" x14ac:dyDescent="0.2">
      <c r="A23" s="5">
        <f>SUBTOTAL(3,B$5:$B23:B23)</f>
        <v>19</v>
      </c>
      <c r="B23" s="5" t="s">
        <v>49</v>
      </c>
      <c r="C23" s="5" t="s">
        <v>50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/>
    </row>
    <row r="24" spans="1:13" ht="21.95" customHeight="1" x14ac:dyDescent="0.2">
      <c r="A24" s="5">
        <f>SUBTOTAL(3,B$5:$B24:B24)</f>
        <v>20</v>
      </c>
      <c r="B24" s="5" t="s">
        <v>51</v>
      </c>
      <c r="C24" s="5" t="s">
        <v>52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/>
    </row>
    <row r="25" spans="1:13" ht="21.95" customHeight="1" x14ac:dyDescent="0.2">
      <c r="A25" s="5">
        <f>SUBTOTAL(3,B$5:$B25:B25)</f>
        <v>21</v>
      </c>
      <c r="B25" s="5" t="s">
        <v>53</v>
      </c>
      <c r="C25" s="5" t="s">
        <v>52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/>
    </row>
    <row r="26" spans="1:13" ht="21.95" customHeight="1" x14ac:dyDescent="0.2">
      <c r="A26" s="5">
        <f>SUBTOTAL(3,B$5:$B26:B26)</f>
        <v>22</v>
      </c>
      <c r="B26" s="5" t="s">
        <v>54</v>
      </c>
      <c r="C26" s="5" t="s">
        <v>52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/>
    </row>
    <row r="27" spans="1:13" ht="21.95" customHeight="1" x14ac:dyDescent="0.2">
      <c r="A27" s="5">
        <f>SUBTOTAL(3,B$5:$B27:B27)</f>
        <v>23</v>
      </c>
      <c r="B27" s="5" t="s">
        <v>55</v>
      </c>
      <c r="C27" s="5" t="s">
        <v>52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/>
    </row>
    <row r="28" spans="1:13" ht="21.95" customHeight="1" x14ac:dyDescent="0.2">
      <c r="A28" s="5">
        <f>SUBTOTAL(3,B$5:$B28:B28)</f>
        <v>24</v>
      </c>
      <c r="B28" s="5" t="s">
        <v>56</v>
      </c>
      <c r="C28" s="5" t="s">
        <v>52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/>
    </row>
    <row r="29" spans="1:13" ht="21.95" customHeight="1" x14ac:dyDescent="0.2">
      <c r="A29" s="5">
        <f>SUBTOTAL(3,B$5:$B29:B29)</f>
        <v>25</v>
      </c>
      <c r="B29" s="5" t="s">
        <v>57</v>
      </c>
      <c r="C29" s="5" t="s">
        <v>52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/>
    </row>
    <row r="30" spans="1:13" ht="21.95" customHeight="1" x14ac:dyDescent="0.2">
      <c r="A30" s="5">
        <f>SUBTOTAL(3,B$5:$B30:B30)</f>
        <v>26</v>
      </c>
      <c r="B30" s="5" t="s">
        <v>58</v>
      </c>
      <c r="C30" s="5" t="s">
        <v>52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/>
    </row>
    <row r="31" spans="1:13" ht="21.95" customHeight="1" x14ac:dyDescent="0.2">
      <c r="A31" s="5">
        <f>SUBTOTAL(3,B$5:$B31:B31)</f>
        <v>27</v>
      </c>
      <c r="B31" s="5" t="s">
        <v>59</v>
      </c>
      <c r="C31" s="5" t="s">
        <v>52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/>
    </row>
    <row r="32" spans="1:13" ht="21.95" customHeight="1" x14ac:dyDescent="0.2">
      <c r="A32" s="5">
        <f>SUBTOTAL(3,B$5:$B32:B32)</f>
        <v>28</v>
      </c>
      <c r="B32" s="5" t="s">
        <v>60</v>
      </c>
      <c r="C32" s="5" t="s">
        <v>61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/>
    </row>
    <row r="33" spans="1:13" ht="21.95" customHeight="1" x14ac:dyDescent="0.2">
      <c r="A33" s="5">
        <f>SUBTOTAL(3,B$5:$B33:B33)</f>
        <v>29</v>
      </c>
      <c r="B33" s="5" t="s">
        <v>62</v>
      </c>
      <c r="C33" s="5" t="s">
        <v>63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/>
    </row>
    <row r="34" spans="1:13" ht="21.95" customHeight="1" x14ac:dyDescent="0.2">
      <c r="A34" s="5">
        <f>SUBTOTAL(3,B$5:$B34:B34)</f>
        <v>30</v>
      </c>
      <c r="B34" s="5" t="s">
        <v>64</v>
      </c>
      <c r="C34" s="5" t="s">
        <v>65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/>
    </row>
    <row r="35" spans="1:13" ht="21.95" customHeight="1" thickBot="1" x14ac:dyDescent="0.25">
      <c r="A35" s="6">
        <f>SUBTOTAL(3,B$5:$B35:B35)</f>
        <v>31</v>
      </c>
      <c r="B35" s="6" t="s">
        <v>66</v>
      </c>
      <c r="C35" s="6" t="s">
        <v>67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/>
    </row>
    <row r="36" spans="1:13" ht="21.95" customHeight="1" thickTop="1" x14ac:dyDescent="0.2">
      <c r="A36" s="7"/>
      <c r="B36" s="7" t="s">
        <v>68</v>
      </c>
      <c r="C36" s="7"/>
      <c r="D36" s="7">
        <f>SUBTOTAL(109,D5:D35)</f>
        <v>0</v>
      </c>
      <c r="E36" s="7">
        <f>SUBTOTAL(109,E5:E35)</f>
        <v>0</v>
      </c>
      <c r="F36" s="7">
        <f>SUBTOTAL(109,F5:F35)</f>
        <v>0</v>
      </c>
      <c r="G36" s="7">
        <f>SUBTOTAL(109,G5:G35)</f>
        <v>0</v>
      </c>
      <c r="H36" s="7">
        <f>SUBTOTAL(109,H5:H35)</f>
        <v>0</v>
      </c>
      <c r="I36" s="7">
        <f>SUBTOTAL(109,I5:I35)</f>
        <v>0</v>
      </c>
      <c r="J36" s="7">
        <f>SUBTOTAL(109,J5:J35)</f>
        <v>0</v>
      </c>
      <c r="K36" s="7">
        <f>SUBTOTAL(109,K5:K35)</f>
        <v>0</v>
      </c>
      <c r="L36" s="7">
        <f>SUBTOTAL(109,L5:L35)</f>
        <v>0</v>
      </c>
      <c r="M36" s="7"/>
    </row>
    <row r="37" spans="1:13" ht="21.95" customHeight="1" x14ac:dyDescent="0.2">
      <c r="A37" s="13"/>
      <c r="B37" s="13" t="s">
        <v>69</v>
      </c>
      <c r="C37" s="13"/>
      <c r="D37" s="13">
        <f>D36/10</f>
        <v>0</v>
      </c>
      <c r="E37" s="13">
        <f>E36/20</f>
        <v>0</v>
      </c>
      <c r="F37" s="13">
        <f>F36/10</f>
        <v>0</v>
      </c>
      <c r="G37" s="13">
        <f>G36/50</f>
        <v>0</v>
      </c>
      <c r="H37" s="13"/>
      <c r="I37" s="13"/>
      <c r="J37" s="13"/>
      <c r="K37" s="13"/>
      <c r="L37" s="13"/>
      <c r="M37" s="13"/>
    </row>
    <row r="38" spans="1:13" ht="30" customHeight="1" x14ac:dyDescent="0.25">
      <c r="A38" s="8" t="s">
        <v>70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3" ht="24.95" customHeight="1" x14ac:dyDescent="0.25">
      <c r="A39" s="2" t="s">
        <v>71</v>
      </c>
      <c r="B39" s="10" t="s">
        <v>3</v>
      </c>
      <c r="C39" s="11">
        <f>COUNT(A5:A35)</f>
        <v>31</v>
      </c>
      <c r="D39" s="10" t="s">
        <v>5</v>
      </c>
      <c r="E39" s="11">
        <f>D36</f>
        <v>0</v>
      </c>
      <c r="F39" s="10" t="s">
        <v>6</v>
      </c>
      <c r="G39" s="11">
        <f>E36</f>
        <v>0</v>
      </c>
      <c r="H39" s="10" t="s">
        <v>7</v>
      </c>
      <c r="I39" s="11">
        <f>F36</f>
        <v>0</v>
      </c>
    </row>
    <row r="40" spans="1:13" ht="24.95" customHeight="1" x14ac:dyDescent="0.25">
      <c r="A40" s="2" t="s">
        <v>71</v>
      </c>
      <c r="B40" s="10" t="s">
        <v>8</v>
      </c>
      <c r="C40" s="11">
        <f>G36</f>
        <v>0</v>
      </c>
      <c r="D40" s="10" t="s">
        <v>9</v>
      </c>
      <c r="E40" s="11">
        <f>H36</f>
        <v>0</v>
      </c>
      <c r="F40" s="10" t="s">
        <v>11</v>
      </c>
      <c r="G40" s="11">
        <f>J36</f>
        <v>0</v>
      </c>
    </row>
    <row r="41" spans="1:13" ht="24.95" customHeight="1" x14ac:dyDescent="0.25">
      <c r="A41" s="2" t="s">
        <v>71</v>
      </c>
      <c r="B41" s="10" t="s">
        <v>12</v>
      </c>
      <c r="C41" s="11">
        <f>K36</f>
        <v>0</v>
      </c>
      <c r="D41" s="10" t="s">
        <v>13</v>
      </c>
      <c r="E41" s="11">
        <f>L36</f>
        <v>0</v>
      </c>
      <c r="F41" s="10" t="s">
        <v>10</v>
      </c>
      <c r="G41" s="11">
        <f>I36</f>
        <v>0</v>
      </c>
    </row>
    <row r="45" spans="1:13" ht="24" x14ac:dyDescent="0.45">
      <c r="B45" s="12"/>
    </row>
  </sheetData>
  <mergeCells count="3">
    <mergeCell ref="A1:K1"/>
    <mergeCell ref="A2:K2"/>
    <mergeCell ref="A38:K38"/>
  </mergeCell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جرد المخزون المتحرك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Basel Al-Fateh</dc:creator>
  <cp:lastModifiedBy>Basel Al-Fateh</cp:lastModifiedBy>
  <dcterms:created xsi:type="dcterms:W3CDTF">2025-11-03T19:02:19Z</dcterms:created>
  <dcterms:modified xsi:type="dcterms:W3CDTF">2025-11-03T19:03:35Z</dcterms:modified>
</cp:coreProperties>
</file>